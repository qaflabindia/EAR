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lakshminarasimhan.santhanamgigkri.com/Desktop/"/>
    </mc:Choice>
  </mc:AlternateContent>
  <xr:revisionPtr revIDLastSave="0" documentId="13_ncr:1_{18265564-C6C3-3D46-8E8B-E835FE32F5CC}" xr6:coauthVersionLast="47" xr6:coauthVersionMax="47" xr10:uidLastSave="{00000000-0000-0000-0000-000000000000}"/>
  <bookViews>
    <workbookView xWindow="0" yWindow="660" windowWidth="29400" windowHeight="16980" tabRatio="500" activeTab="4" xr2:uid="{00000000-000D-0000-FFFF-FFFF00000000}"/>
  </bookViews>
  <sheets>
    <sheet name="Dashboard" sheetId="1" r:id="rId1"/>
    <sheet name="Monthly Trend" sheetId="2" r:id="rId2"/>
    <sheet name="Product Performance" sheetId="3" r:id="rId3"/>
    <sheet name="Branch Performance" sheetId="4" r:id="rId4"/>
    <sheet name="RM Leaderboard" sheetId="5" r:id="rId5"/>
  </sheets>
  <definedNames>
    <definedName name="_xlnm._FilterDatabase" localSheetId="3" hidden="1">'Branch Performance'!$A$2:$K$2</definedName>
    <definedName name="_xlnm._FilterDatabase" localSheetId="1" hidden="1">'Monthly Trend'!$A$2:$L$2</definedName>
    <definedName name="_xlnm._FilterDatabase" localSheetId="2" hidden="1">'Product Performance'!$A$2:$K$2</definedName>
    <definedName name="_xlnm._FilterDatabase" localSheetId="4" hidden="1">'RM Leaderboard'!$A$2:$H$2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8" i="4" l="1"/>
  <c r="G18" i="4"/>
  <c r="F18" i="4"/>
  <c r="E18" i="4"/>
  <c r="D18" i="4"/>
  <c r="C18" i="4"/>
  <c r="K14" i="3"/>
  <c r="J14" i="3"/>
  <c r="I14" i="3"/>
  <c r="G14" i="3"/>
  <c r="F14" i="3"/>
  <c r="D14" i="3"/>
  <c r="C14" i="3"/>
  <c r="L15" i="2"/>
  <c r="K15" i="2"/>
  <c r="J15" i="2"/>
  <c r="I15" i="2"/>
  <c r="D37" i="1"/>
  <c r="C37" i="1"/>
  <c r="E14" i="3" l="1"/>
  <c r="H14" i="3"/>
</calcChain>
</file>

<file path=xl/sharedStrings.xml><?xml version="1.0" encoding="utf-8"?>
<sst xmlns="http://schemas.openxmlformats.org/spreadsheetml/2006/main" count="109" uniqueCount="77">
  <si>
    <t>🏦   BANK DAILY SALES DASHBOARD  ·  FY 2025</t>
  </si>
  <si>
    <t>KEY PERFORMANCE INDICATORS</t>
  </si>
  <si>
    <t>Total Accounts Opened</t>
  </si>
  <si>
    <t>Total Amount  (₹ Lakhs)</t>
  </si>
  <si>
    <t>Account Achievement</t>
  </si>
  <si>
    <t>Amount Achievement</t>
  </si>
  <si>
    <t>Avg Daily Amount  (₹L)</t>
  </si>
  <si>
    <t>Total Transactions</t>
  </si>
  <si>
    <t>Target  13,480</t>
  </si>
  <si>
    <t>Target  302,311 L</t>
  </si>
  <si>
    <t>vs. target</t>
  </si>
  <si>
    <t>310 active days</t>
  </si>
  <si>
    <t>Daily sales entries</t>
  </si>
  <si>
    <t>MONTHLY DISBURSEMENT / DEPOSIT TREND  (₹ Lakhs)</t>
  </si>
  <si>
    <t>ASSET vs. LIABILITY</t>
  </si>
  <si>
    <t>CHANNEL MIX</t>
  </si>
  <si>
    <t>Month</t>
  </si>
  <si>
    <t>Actual (₹L)</t>
  </si>
  <si>
    <t>Target (₹L)</t>
  </si>
  <si>
    <t>Accounts</t>
  </si>
  <si>
    <t>Category</t>
  </si>
  <si>
    <t>Amount (₹L)</t>
  </si>
  <si>
    <t>Channel</t>
  </si>
  <si>
    <t>Asset</t>
  </si>
  <si>
    <t>Branch</t>
  </si>
  <si>
    <t>Liability</t>
  </si>
  <si>
    <t>DSA</t>
  </si>
  <si>
    <t>Digital</t>
  </si>
  <si>
    <t>PRODUCT-WISE PERFORMANCE</t>
  </si>
  <si>
    <t>Product</t>
  </si>
  <si>
    <t>Acct %</t>
  </si>
  <si>
    <t>Amt %</t>
  </si>
  <si>
    <t>TOTAL</t>
  </si>
  <si>
    <t>100%</t>
  </si>
  <si>
    <t>TOP 10 BRANCHES BY AMOUNT  (₹ Lakhs)</t>
  </si>
  <si>
    <t>#</t>
  </si>
  <si>
    <t>Bar</t>
  </si>
  <si>
    <t>MONTHLY SALES TREND — FY 2025</t>
  </si>
  <si>
    <t>New Accounts</t>
  </si>
  <si>
    <t>Target Accounts</t>
  </si>
  <si>
    <t>Acct Ach %</t>
  </si>
  <si>
    <t>Target Amt (₹L)</t>
  </si>
  <si>
    <t>Amt Ach %</t>
  </si>
  <si>
    <t>Asset Accounts</t>
  </si>
  <si>
    <t>Liability Accts</t>
  </si>
  <si>
    <t>Asset Amt (₹L)</t>
  </si>
  <si>
    <t>Liab Amt (₹L)</t>
  </si>
  <si>
    <t>Active Days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</si>
  <si>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</si>
  <si>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</si>
  <si>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</si>
  <si>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</si>
  <si>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</si>
  <si>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</si>
  <si>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</si>
  <si>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</si>
  <si>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</si>
  <si>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</si>
  <si>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</si>
  <si>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</si>
  <si>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PRODUCT-WISE SALES PERFORMANCE — FY 2025</t>
  </si>
  <si>
    <t>Total Accounts</t>
  </si>
  <si>
    <t>Total Amount (₹L)</t>
  </si>
  <si>
    <t>Branch (₹L)</t>
  </si>
  <si>
    <t>Digital (₹L)</t>
  </si>
  <si>
    <t>DSA (₹L)</t>
  </si>
  <si>
    <t>BRANCH-WISE SALES PERFORMANCE — FY 2025</t>
  </si>
  <si>
    <t>Region</t>
  </si>
  <si>
    <t>Liability Accounts</t>
  </si>
  <si>
    <t>Liability Amt (₹L)</t>
  </si>
  <si>
    <t>Avg Accts/Day</t>
  </si>
  <si>
    <t>Avg Amt/Day (₹L)</t>
  </si>
  <si>
    <t>RM SALES LEADERBOARD — FY 2025</t>
  </si>
  <si>
    <t>Rank</t>
  </si>
  <si>
    <t>RM Name</t>
  </si>
  <si>
    <t>Achievement Bar</t>
  </si>
  <si>
    <t>Medal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</si>
</sst>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#,##0.00;\(#,##0.00\);\-"/>
    <numFmt numFmtId="166" formatCode="#,##0.0%;\-#,##0.0%;\-"/>
  </numFmts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1F3864"/>
      <name val="Arial"/>
      <charset val="1"/>
    </font>
    <font>
      <b/>
      <sz val="8"/>
      <color rgb="FF5A5A5A"/>
      <name val="Arial"/>
      <charset val="1"/>
    </font>
    <font>
      <b/>
      <sz val="17"/>
      <color rgb="FF2E75B6"/>
      <name val="Arial"/>
      <charset val="1"/>
    </font>
    <font>
      <b/>
      <sz val="17"/>
      <color rgb="FF375623"/>
      <name val="Arial"/>
      <charset val="1"/>
    </font>
    <font>
      <b/>
      <sz val="17"/>
      <color rgb="FF7F6000"/>
      <name val="Arial"/>
      <charset val="1"/>
    </font>
    <font>
      <b/>
      <sz val="17"/>
      <color rgb="FF1F3864"/>
      <name val="Arial"/>
      <charset val="1"/>
    </font>
    <font>
      <sz val="8"/>
      <color rgb="FF7F7F7F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sz val="8"/>
      <color rgb="FF2E75B6"/>
      <name val="Courier New"/>
      <charset val="1"/>
    </font>
    <font>
      <sz val="12"/>
      <color rgb="FF0000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3FB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2E75B6"/>
        <bgColor rgb="FF4F81BD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EBF3FB"/>
      </patternFill>
    </fill>
    <fill>
      <patternFill patternType="solid">
        <fgColor rgb="FFBDD7EE"/>
        <bgColor rgb="FFC5D9F1"/>
      </patternFill>
    </fill>
  </fills>
  <borders count="3">
    <border>
      <left/>
      <right/>
      <top/>
      <bottom/>
      <diagonal/>
    </border>
    <border>
      <left style="thin">
        <color rgb="FFC5D9F1"/>
      </left>
      <right style="thin">
        <color rgb="FFC5D9F1"/>
      </right>
      <top style="thin">
        <color rgb="FFC5D9F1"/>
      </top>
      <bottom style="thin">
        <color rgb="FFC5D9F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8" fillId="5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164" fontId="7" fillId="5" borderId="2" xfId="0" applyNumberFormat="1" applyFont="1" applyFill="1" applyBorder="1" applyAlignment="1">
      <alignment horizontal="center" vertical="center"/>
    </xf>
    <xf numFmtId="165" fontId="7" fillId="4" borderId="2" xfId="0" applyNumberFormat="1" applyFont="1" applyFill="1" applyBorder="1" applyAlignment="1">
      <alignment horizontal="center" vertical="center"/>
    </xf>
    <xf numFmtId="166" fontId="6" fillId="3" borderId="2" xfId="0" applyNumberFormat="1" applyFont="1" applyFill="1" applyBorder="1" applyAlignment="1">
      <alignment horizontal="center" vertical="center"/>
    </xf>
    <xf numFmtId="166" fontId="6" fillId="5" borderId="2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/>
    </xf>
    <xf numFmtId="165" fontId="10" fillId="7" borderId="1" xfId="0" applyNumberFormat="1" applyFont="1" applyFill="1" applyBorder="1" applyAlignment="1">
      <alignment horizontal="center" vertical="center"/>
    </xf>
    <xf numFmtId="164" fontId="10" fillId="7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165" fontId="10" fillId="5" borderId="1" xfId="0" applyNumberFormat="1" applyFont="1" applyFill="1" applyBorder="1" applyAlignment="1">
      <alignment horizontal="center" vertical="center"/>
    </xf>
    <xf numFmtId="164" fontId="10" fillId="5" borderId="1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/>
    </xf>
    <xf numFmtId="165" fontId="10" fillId="8" borderId="1" xfId="0" applyNumberFormat="1" applyFont="1" applyFill="1" applyBorder="1" applyAlignment="1">
      <alignment horizontal="center" vertical="center"/>
    </xf>
    <xf numFmtId="164" fontId="10" fillId="8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165" fontId="10" fillId="4" borderId="1" xfId="0" applyNumberFormat="1" applyFont="1" applyFill="1" applyBorder="1" applyAlignment="1">
      <alignment horizontal="center" vertical="center"/>
    </xf>
    <xf numFmtId="164" fontId="10" fillId="4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66" fontId="10" fillId="5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66" fontId="10" fillId="4" borderId="1" xfId="0" applyNumberFormat="1" applyFont="1" applyFill="1" applyBorder="1" applyAlignment="1">
      <alignment horizontal="center" vertical="center"/>
    </xf>
    <xf numFmtId="0" fontId="11" fillId="9" borderId="1" xfId="0" applyFont="1" applyFill="1" applyBorder="1"/>
    <xf numFmtId="164" fontId="11" fillId="9" borderId="1" xfId="0" applyNumberFormat="1" applyFont="1" applyFill="1" applyBorder="1"/>
    <xf numFmtId="165" fontId="11" fillId="9" borderId="1" xfId="0" applyNumberFormat="1" applyFont="1" applyFill="1" applyBorder="1"/>
    <xf numFmtId="166" fontId="11" fillId="9" borderId="1" xfId="0" applyNumberFormat="1" applyFont="1" applyFill="1" applyBorder="1"/>
    <xf numFmtId="0" fontId="1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164" fontId="10" fillId="3" borderId="1" xfId="0" applyNumberFormat="1" applyFont="1" applyFill="1" applyBorder="1" applyAlignment="1">
      <alignment horizontal="center" vertical="center"/>
    </xf>
    <xf numFmtId="165" fontId="10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/>
    <xf numFmtId="0" fontId="11" fillId="7" borderId="1" xfId="0" applyFont="1" applyFill="1" applyBorder="1" applyAlignment="1">
      <alignment horizontal="center" vertical="center"/>
    </xf>
    <xf numFmtId="0" fontId="12" fillId="7" borderId="1" xfId="0" applyFont="1" applyFill="1" applyBorder="1"/>
    <xf numFmtId="166" fontId="10" fillId="7" borderId="1" xfId="0" applyNumberFormat="1" applyFont="1" applyFill="1" applyBorder="1" applyAlignment="1">
      <alignment horizontal="center" vertical="center"/>
    </xf>
    <xf numFmtId="166" fontId="10" fillId="8" borderId="1" xfId="0" applyNumberFormat="1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/>
    </xf>
    <xf numFmtId="164" fontId="11" fillId="9" borderId="1" xfId="0" applyNumberFormat="1" applyFont="1" applyFill="1" applyBorder="1" applyAlignment="1">
      <alignment horizontal="center" vertical="center"/>
    </xf>
    <xf numFmtId="166" fontId="11" fillId="9" borderId="1" xfId="0" applyNumberFormat="1" applyFont="1" applyFill="1" applyBorder="1" applyAlignment="1">
      <alignment horizontal="center" vertical="center"/>
    </xf>
    <xf numFmtId="165" fontId="11" fillId="9" borderId="1" xfId="0" applyNumberFormat="1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164" fontId="11" fillId="5" borderId="1" xfId="0" applyNumberFormat="1" applyFont="1" applyFill="1" applyBorder="1" applyAlignment="1">
      <alignment horizontal="center" vertical="center"/>
    </xf>
    <xf numFmtId="165" fontId="11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/>
    <xf numFmtId="0" fontId="13" fillId="5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/>
    </xf>
    <xf numFmtId="164" fontId="11" fillId="8" borderId="1" xfId="0" applyNumberFormat="1" applyFont="1" applyFill="1" applyBorder="1" applyAlignment="1">
      <alignment horizontal="center" vertical="center"/>
    </xf>
    <xf numFmtId="165" fontId="11" fillId="8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/>
    <xf numFmtId="0" fontId="13" fillId="8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164" fontId="11" fillId="3" borderId="1" xfId="0" applyNumberFormat="1" applyFont="1" applyFill="1" applyBorder="1" applyAlignment="1">
      <alignment horizontal="center" vertical="center"/>
    </xf>
    <xf numFmtId="165" fontId="11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7F7F7F"/>
      <rgbColor rgb="FF9999FF"/>
      <rgbColor rgb="FFC0504D"/>
      <rgbColor rgb="FFFFF2CC"/>
      <rgbColor rgb="FFEBF3FB"/>
      <rgbColor rgb="FF660066"/>
      <rgbColor rgb="FFFF8080"/>
      <rgbColor rgb="FF0066CC"/>
      <rgbColor rgb="FFC5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9F9F9"/>
      <rgbColor rgb="FFBDD7EE"/>
      <rgbColor rgb="FFFF99CC"/>
      <rgbColor rgb="FFCC99FF"/>
      <rgbColor rgb="FFD9D9D9"/>
      <rgbColor rgb="FF2E75B6"/>
      <rgbColor rgb="FF70AD47"/>
      <rgbColor rgb="FF9BBB59"/>
      <rgbColor rgb="FFFFCC00"/>
      <rgbColor rgb="FFFF9900"/>
      <rgbColor rgb="FFED7D31"/>
      <rgbColor rgb="FF5A5A5A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Dashboard!$B$10</c:f>
              <c:strCache>
                <c:ptCount val="1"/>
                <c:pt idx="0">
                  <c:v>Actual (₹L)</c:v>
                </c:pt>
              </c:strCache>
            </c:strRef>
          </c:tx>
          <c:spPr>
            <a:solidFill>
              <a:srgbClr val="2E75B6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numRef>
              <c:f>Dashboard!$A$11:$A$22</c:f>
              <c:numCache>
                <c:formatCode>General</c:formatCode>
                <c:ptCount val="12"/>
              </c:numCache>
            </c:numRef>
          </c:cat>
          <c:val>
            <c:numRef>
              <c:f>Dashboard!$B$11:$B$22</c:f>
              <c:numCache>
                <c:formatCode>#,##0.00;\(#,##0.00\);\-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D336-FA4A-805B-697D7B940BFA}"/>
            </c:ext>
          </c:extLst>
        </c:ser>
        <c:ser>
          <c:idx val="1"/>
          <c:order val="1"/>
          <c:tx>
            <c:strRef>
              <c:f>Dashboard!$C$10</c:f>
              <c:strCache>
                <c:ptCount val="1"/>
                <c:pt idx="0">
                  <c:v>Target (₹L)</c:v>
                </c:pt>
              </c:strCache>
            </c:strRef>
          </c:tx>
          <c:spPr>
            <a:solidFill>
              <a:srgbClr val="ED7D31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numRef>
              <c:f>Dashboard!$A$11:$A$22</c:f>
              <c:numCache>
                <c:formatCode>General</c:formatCode>
                <c:ptCount val="12"/>
              </c:numCache>
            </c:numRef>
          </c:cat>
          <c:val>
            <c:numRef>
              <c:f>Dashboard!$C$11:$C$22</c:f>
              <c:numCache>
                <c:formatCode>#,##0.00;\(#,##0.00\);\-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D336-FA4A-805B-697D7B940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039997"/>
        <c:axId val="62471041"/>
      </c:barChart>
      <c:catAx>
        <c:axId val="450399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2471041"/>
        <c:crosses val="autoZero"/>
        <c:auto val="1"/>
        <c:lblAlgn val="ctr"/>
        <c:lblOffset val="100"/>
        <c:noMultiLvlLbl val="0"/>
      </c:catAx>
      <c:valAx>
        <c:axId val="624710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503999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Dashboard!$O$10</c:f>
              <c:strCache>
                <c:ptCount val="1"/>
                <c:pt idx="0">
                  <c:v>Amount (₹L)</c:v>
                </c:pt>
              </c:strCache>
            </c:strRef>
          </c:tx>
          <c:spPr>
            <a:solidFill>
              <a:srgbClr val="2E75B6"/>
            </a:solidFill>
            <a:ln w="1260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1260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20C4-FE43-80A2-52BAA9102E4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1260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20C4-FE43-80A2-52BAA9102E4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20C4-FE43-80A2-52BAA9102E4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20C4-FE43-80A2-52BAA9102E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Dashboard!$N$11:$N$12</c:f>
              <c:strCache>
                <c:ptCount val="2"/>
                <c:pt idx="0">
                  <c:v>Asset</c:v>
                </c:pt>
                <c:pt idx="1">
                  <c:v>Liability</c:v>
                </c:pt>
              </c:strCache>
            </c:strRef>
          </c:cat>
          <c:val>
            <c:numRef>
              <c:f>Dashboard!$O$11:$O$12</c:f>
              <c:numCache>
                <c:formatCode>#,##0.00;\(#,##0.00\);\-</c:formatCode>
                <c:ptCount val="2"/>
                <c:pt idx="0">
                  <c:v>153817.32</c:v>
                </c:pt>
                <c:pt idx="1">
                  <c:v>132320.72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C4-FE43-80A2-52BAA9102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Dashboard!$T$10</c:f>
              <c:strCache>
                <c:ptCount val="1"/>
                <c:pt idx="0">
                  <c:v>Amount (₹L)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50ED-7A46-A329-C919A4C120D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1260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50ED-7A46-A329-C919A4C120D9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1260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50ED-7A46-A329-C919A4C120D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50ED-7A46-A329-C919A4C120D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50ED-7A46-A329-C919A4C120D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50ED-7A46-A329-C919A4C120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Dashboard!$S$11:$S$13</c:f>
              <c:strCache>
                <c:ptCount val="3"/>
                <c:pt idx="0">
                  <c:v>Branch</c:v>
                </c:pt>
                <c:pt idx="1">
                  <c:v>DSA</c:v>
                </c:pt>
                <c:pt idx="2">
                  <c:v>Digital</c:v>
                </c:pt>
              </c:strCache>
            </c:strRef>
          </c:cat>
          <c:val>
            <c:numRef>
              <c:f>Dashboard!$T$11:$T$13</c:f>
              <c:numCache>
                <c:formatCode>#,##0.00;\(#,##0.00\);\-</c:formatCode>
                <c:ptCount val="3"/>
                <c:pt idx="0">
                  <c:v>128412.07</c:v>
                </c:pt>
                <c:pt idx="1">
                  <c:v>51604.22</c:v>
                </c:pt>
                <c:pt idx="2">
                  <c:v>106121.75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ED-7A46-A329-C919A4C12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Dashboard!$D$25</c:f>
              <c:strCache>
                <c:ptCount val="1"/>
                <c:pt idx="0">
                  <c:v>Amount (₹L)</c:v>
                </c:pt>
              </c:strCache>
            </c:strRef>
          </c:tx>
          <c:spPr>
            <a:solidFill>
              <a:srgbClr val="2E75B6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numRef>
              <c:f>Dashboard!$A$26:$A$36</c:f>
              <c:numCache>
                <c:formatCode>General</c:formatCode>
                <c:ptCount val="11"/>
              </c:numCache>
            </c:numRef>
          </c:cat>
          <c:val>
            <c:numRef>
              <c:f>Dashboard!$D$26:$D$36</c:f>
              <c:numCache>
                <c:formatCode>#,##0.00;\(#,##0.00\);\-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2497-7348-A9C5-D5C303A04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875400"/>
        <c:axId val="63251857"/>
      </c:barChart>
      <c:catAx>
        <c:axId val="5787540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3251857"/>
        <c:crosses val="autoZero"/>
        <c:auto val="1"/>
        <c:lblAlgn val="ctr"/>
        <c:lblOffset val="100"/>
        <c:noMultiLvlLbl val="0"/>
      </c:catAx>
      <c:valAx>
        <c:axId val="6325185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787540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Dashboard!$D$41</c:f>
              <c:strCache>
                <c:ptCount val="1"/>
                <c:pt idx="0">
                  <c:v>Amount (₹L)</c:v>
                </c:pt>
              </c:strCache>
            </c:strRef>
          </c:tx>
          <c:spPr>
            <a:solidFill>
              <a:srgbClr val="ED7D31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numRef>
              <c:f>Dashboard!$B$42:$B$51</c:f>
              <c:numCache>
                <c:formatCode>General</c:formatCode>
                <c:ptCount val="10"/>
              </c:numCache>
            </c:numRef>
          </c:cat>
          <c:val>
            <c:numRef>
              <c:f>Dashboard!$D$42:$D$51</c:f>
              <c:numCache>
                <c:formatCode>#,##0.00;\(#,##0.00\);\-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0622-0A4B-9E9B-3CAEA3E0D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880110"/>
        <c:axId val="57429389"/>
      </c:barChart>
      <c:catAx>
        <c:axId val="9988011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7429389"/>
        <c:crosses val="autoZero"/>
        <c:auto val="1"/>
        <c:lblAlgn val="ctr"/>
        <c:lblOffset val="100"/>
        <c:noMultiLvlLbl val="0"/>
      </c:catAx>
      <c:valAx>
        <c:axId val="5742938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988011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'Monthly Trend'!$E$2</c:f>
              <c:strCache>
                <c:ptCount val="1"/>
                <c:pt idx="0">
                  <c:v>Amount (₹L)</c:v>
                </c:pt>
              </c:strCache>
            </c:strRef>
          </c:tx>
          <c:spPr>
            <a:ln w="201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'Monthly Trend'!$A$3:$A$14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Trend'!$E$3:$E$14</c:f>
              <c:numCache>
                <c:formatCode>#,##0.00;\(#,##0.00\);\-</c:formatCode>
                <c:ptCount val="12"/>
                <c:pt idx="11">
                  <c:v>26810.71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845-5B49-B924-267C436CAF84}"/>
            </c:ext>
          </c:extLst>
        </c:ser>
        <c:ser>
          <c:idx val="1"/>
          <c:order val="1"/>
          <c:tx>
            <c:strRef>
              <c:f>'Monthly Trend'!$F$2</c:f>
              <c:strCache>
                <c:ptCount val="1"/>
                <c:pt idx="0">
                  <c:v>Target Amt (₹L)</c:v>
                </c:pt>
              </c:strCache>
            </c:strRef>
          </c:tx>
          <c:spPr>
            <a:ln w="201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'Monthly Trend'!$A$3:$A$14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Trend'!$F$3:$F$14</c:f>
              <c:numCache>
                <c:formatCode>#,##0.00;\(#,##0.00\);\-</c:formatCode>
                <c:ptCount val="12"/>
                <c:pt idx="11">
                  <c:v>28063.34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845-5B49-B924-267C436CA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1011121"/>
        <c:axId val="2158208"/>
      </c:lineChart>
      <c:catAx>
        <c:axId val="4101112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158208"/>
        <c:crosses val="autoZero"/>
        <c:auto val="1"/>
        <c:lblAlgn val="ctr"/>
        <c:lblOffset val="100"/>
        <c:noMultiLvlLbl val="0"/>
      </c:catAx>
      <c:valAx>
        <c:axId val="21582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101112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'Product Performance'!$I$2</c:f>
              <c:strCache>
                <c:ptCount val="1"/>
                <c:pt idx="0">
                  <c:v>Branch (₹L)</c:v>
                </c:pt>
              </c:strCache>
            </c:strRef>
          </c:tx>
          <c:spPr>
            <a:solidFill>
              <a:srgbClr val="2E75B6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numRef>
              <c:f>'Product Performance'!$A$3:$A$13</c:f>
              <c:numCache>
                <c:formatCode>General</c:formatCode>
                <c:ptCount val="11"/>
              </c:numCache>
            </c:numRef>
          </c:cat>
          <c:val>
            <c:numRef>
              <c:f>'Product Performance'!$I$3:$I$13</c:f>
              <c:numCache>
                <c:formatCode>#,##0.00;\(#,##0.00\);\-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D046-8842-A6BF-A03DD395B3CE}"/>
            </c:ext>
          </c:extLst>
        </c:ser>
        <c:ser>
          <c:idx val="1"/>
          <c:order val="1"/>
          <c:tx>
            <c:strRef>
              <c:f>'Product Performance'!$J$2</c:f>
              <c:strCache>
                <c:ptCount val="1"/>
                <c:pt idx="0">
                  <c:v>Digital (₹L)</c:v>
                </c:pt>
              </c:strCache>
            </c:strRef>
          </c:tx>
          <c:spPr>
            <a:solidFill>
              <a:srgbClr val="70AD47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numRef>
              <c:f>'Product Performance'!$A$3:$A$13</c:f>
              <c:numCache>
                <c:formatCode>General</c:formatCode>
                <c:ptCount val="11"/>
              </c:numCache>
            </c:numRef>
          </c:cat>
          <c:val>
            <c:numRef>
              <c:f>'Product Performance'!$J$3:$J$13</c:f>
              <c:numCache>
                <c:formatCode>#,##0.00;\(#,##0.00\);\-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D046-8842-A6BF-A03DD395B3CE}"/>
            </c:ext>
          </c:extLst>
        </c:ser>
        <c:ser>
          <c:idx val="2"/>
          <c:order val="2"/>
          <c:tx>
            <c:strRef>
              <c:f>'Product Performance'!$K$2</c:f>
              <c:strCache>
                <c:ptCount val="1"/>
                <c:pt idx="0">
                  <c:v>DSA (₹L)</c:v>
                </c:pt>
              </c:strCache>
            </c:strRef>
          </c:tx>
          <c:spPr>
            <a:solidFill>
              <a:srgbClr val="ED7D31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numRef>
              <c:f>'Product Performance'!$A$3:$A$13</c:f>
              <c:numCache>
                <c:formatCode>General</c:formatCode>
                <c:ptCount val="11"/>
              </c:numCache>
            </c:numRef>
          </c:cat>
          <c:val>
            <c:numRef>
              <c:f>'Product Performance'!$K$3:$K$13</c:f>
              <c:numCache>
                <c:formatCode>#,##0.00;\(#,##0.00\);\-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D046-8842-A6BF-A03DD395B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244589"/>
        <c:axId val="52620182"/>
      </c:barChart>
      <c:catAx>
        <c:axId val="3424458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2620182"/>
        <c:crosses val="autoZero"/>
        <c:auto val="1"/>
        <c:lblAlgn val="ctr"/>
        <c:lblOffset val="100"/>
        <c:noMultiLvlLbl val="0"/>
      </c:catAx>
      <c:valAx>
        <c:axId val="5262018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424458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'Branch Performance'!$D$2</c:f>
              <c:strCache>
                <c:ptCount val="1"/>
                <c:pt idx="0">
                  <c:v>Asset Amt (₹L)</c:v>
                </c:pt>
              </c:strCache>
            </c:strRef>
          </c:tx>
          <c:spPr>
            <a:solidFill>
              <a:srgbClr val="2E75B6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numRef>
              <c:f>'Branch Performance'!$A$3:$A$17</c:f>
              <c:numCache>
                <c:formatCode>General</c:formatCode>
                <c:ptCount val="15"/>
              </c:numCache>
            </c:numRef>
          </c:cat>
          <c:val>
            <c:numRef>
              <c:f>'Branch Performance'!$D$3:$D$17</c:f>
              <c:numCache>
                <c:formatCode>#,##0.00;\(#,##0.00\);\-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F57F-EF42-8704-8D091DA63A74}"/>
            </c:ext>
          </c:extLst>
        </c:ser>
        <c:ser>
          <c:idx val="1"/>
          <c:order val="1"/>
          <c:tx>
            <c:strRef>
              <c:f>'Branch Performance'!$F$2</c:f>
              <c:strCache>
                <c:ptCount val="1"/>
                <c:pt idx="0">
                  <c:v>Liability Amt (₹L)</c:v>
                </c:pt>
              </c:strCache>
            </c:strRef>
          </c:tx>
          <c:spPr>
            <a:solidFill>
              <a:srgbClr val="70AD47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numRef>
              <c:f>'Branch Performance'!$A$3:$A$17</c:f>
              <c:numCache>
                <c:formatCode>General</c:formatCode>
                <c:ptCount val="15"/>
              </c:numCache>
            </c:numRef>
          </c:cat>
          <c:val>
            <c:numRef>
              <c:f>'Branch Performance'!$F$3:$F$17</c:f>
              <c:numCache>
                <c:formatCode>#,##0.00;\(#,##0.00\);\-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F57F-EF42-8704-8D091DA63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909537"/>
        <c:axId val="14898471"/>
      </c:barChart>
      <c:catAx>
        <c:axId val="8390953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4898471"/>
        <c:crosses val="autoZero"/>
        <c:auto val="1"/>
        <c:lblAlgn val="ctr"/>
        <c:lblOffset val="100"/>
        <c:noMultiLvlLbl val="0"/>
      </c:catAx>
      <c:valAx>
        <c:axId val="1489847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390953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8</xdr:row>
      <xdr:rowOff>0</xdr:rowOff>
    </xdr:from>
    <xdr:to>
      <xdr:col>13</xdr:col>
      <xdr:colOff>981720</xdr:colOff>
      <xdr:row>27</xdr:row>
      <xdr:rowOff>36720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11</xdr:row>
      <xdr:rowOff>0</xdr:rowOff>
    </xdr:from>
    <xdr:to>
      <xdr:col>18</xdr:col>
      <xdr:colOff>356760</xdr:colOff>
      <xdr:row>26</xdr:row>
      <xdr:rowOff>145800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0</xdr:colOff>
      <xdr:row>11</xdr:row>
      <xdr:rowOff>0</xdr:rowOff>
    </xdr:from>
    <xdr:to>
      <xdr:col>22</xdr:col>
      <xdr:colOff>497880</xdr:colOff>
      <xdr:row>26</xdr:row>
      <xdr:rowOff>145800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23</xdr:row>
      <xdr:rowOff>0</xdr:rowOff>
    </xdr:from>
    <xdr:to>
      <xdr:col>14</xdr:col>
      <xdr:colOff>261360</xdr:colOff>
      <xdr:row>44</xdr:row>
      <xdr:rowOff>147600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0</xdr:colOff>
      <xdr:row>39</xdr:row>
      <xdr:rowOff>0</xdr:rowOff>
    </xdr:from>
    <xdr:to>
      <xdr:col>14</xdr:col>
      <xdr:colOff>120240</xdr:colOff>
      <xdr:row>57</xdr:row>
      <xdr:rowOff>84600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7</xdr:col>
      <xdr:colOff>729720</xdr:colOff>
      <xdr:row>37</xdr:row>
      <xdr:rowOff>149400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0</xdr:rowOff>
    </xdr:from>
    <xdr:to>
      <xdr:col>7</xdr:col>
      <xdr:colOff>306720</xdr:colOff>
      <xdr:row>38</xdr:row>
      <xdr:rowOff>128160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7</xdr:col>
      <xdr:colOff>165960</xdr:colOff>
      <xdr:row>42</xdr:row>
      <xdr:rowOff>128520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"/>
  <sheetViews>
    <sheetView showGridLines="0" topLeftCell="C1" zoomScaleNormal="100" workbookViewId="0">
      <selection activeCell="Y6" sqref="Y6"/>
    </sheetView>
  </sheetViews>
  <sheetFormatPr baseColWidth="10" defaultColWidth="8.5" defaultRowHeight="15" x14ac:dyDescent="0.2"/>
  <cols>
    <col min="1" max="1" width="14" customWidth="1"/>
    <col min="2" max="2" width="10" customWidth="1"/>
    <col min="3" max="3" width="13" customWidth="1"/>
    <col min="4" max="4" width="15" customWidth="1"/>
    <col min="5" max="6" width="12" customWidth="1"/>
    <col min="7" max="7" width="2" customWidth="1"/>
    <col min="8" max="8" width="18" customWidth="1"/>
    <col min="9" max="10" width="14" customWidth="1"/>
    <col min="11" max="11" width="2" customWidth="1"/>
    <col min="12" max="12" width="14" customWidth="1"/>
    <col min="13" max="13" width="2" customWidth="1"/>
    <col min="14" max="16" width="14" customWidth="1"/>
    <col min="17" max="18" width="2" customWidth="1"/>
    <col min="19" max="19" width="12" customWidth="1"/>
    <col min="20" max="20" width="16" customWidth="1"/>
    <col min="21" max="21" width="14" customWidth="1"/>
    <col min="22" max="22" width="2" customWidth="1"/>
  </cols>
  <sheetData>
    <row r="1" spans="1:23" ht="6" customHeight="1" x14ac:dyDescent="0.2"/>
    <row r="2" spans="1:23" ht="43.5" customHeight="1" x14ac:dyDescent="0.2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3" ht="9.75" customHeight="1" x14ac:dyDescent="0.2"/>
    <row r="4" spans="1:23" ht="21.75" customHeight="1" x14ac:dyDescent="0.2">
      <c r="A4" s="13" t="s">
        <v>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1:23" ht="18" customHeight="1" x14ac:dyDescent="0.2">
      <c r="A5" s="12" t="s">
        <v>2</v>
      </c>
      <c r="B5" s="12"/>
      <c r="C5" s="12"/>
      <c r="E5" s="11" t="s">
        <v>3</v>
      </c>
      <c r="F5" s="11"/>
      <c r="G5" s="11"/>
      <c r="I5" s="10" t="s">
        <v>4</v>
      </c>
      <c r="J5" s="10"/>
      <c r="K5" s="10"/>
      <c r="M5" s="12" t="s">
        <v>5</v>
      </c>
      <c r="N5" s="12"/>
      <c r="O5" s="12"/>
      <c r="Q5" s="11" t="s">
        <v>6</v>
      </c>
      <c r="R5" s="11"/>
      <c r="S5" s="11"/>
      <c r="U5" s="10" t="s">
        <v>7</v>
      </c>
      <c r="V5" s="10"/>
      <c r="W5" s="10"/>
    </row>
    <row r="6" spans="1:23" ht="30" customHeight="1" x14ac:dyDescent="0.2">
      <c r="A6" s="9"/>
      <c r="B6" s="9"/>
      <c r="C6" s="9"/>
      <c r="E6" s="8"/>
      <c r="F6" s="8"/>
      <c r="G6" s="8"/>
      <c r="I6" s="7"/>
      <c r="J6" s="7"/>
      <c r="K6" s="7"/>
      <c r="M6" s="6"/>
      <c r="N6" s="6"/>
      <c r="O6" s="6"/>
      <c r="Q6" s="5"/>
      <c r="R6" s="5"/>
      <c r="S6" s="5"/>
      <c r="U6" s="4"/>
      <c r="V6" s="4"/>
      <c r="W6" s="4"/>
    </row>
    <row r="7" spans="1:23" ht="18" customHeight="1" x14ac:dyDescent="0.2">
      <c r="A7" s="3" t="s">
        <v>8</v>
      </c>
      <c r="B7" s="3"/>
      <c r="C7" s="3"/>
      <c r="E7" s="2" t="s">
        <v>9</v>
      </c>
      <c r="F7" s="2"/>
      <c r="G7" s="2"/>
      <c r="I7" s="1" t="s">
        <v>10</v>
      </c>
      <c r="J7" s="1"/>
      <c r="K7" s="1"/>
      <c r="M7" s="3" t="s">
        <v>10</v>
      </c>
      <c r="N7" s="3"/>
      <c r="O7" s="3"/>
      <c r="Q7" s="2" t="s">
        <v>11</v>
      </c>
      <c r="R7" s="2"/>
      <c r="S7" s="2"/>
      <c r="U7" s="1" t="s">
        <v>12</v>
      </c>
      <c r="V7" s="1"/>
      <c r="W7" s="1"/>
    </row>
    <row r="8" spans="1:23" ht="13.5" customHeight="1" x14ac:dyDescent="0.2"/>
    <row r="9" spans="1:23" ht="21.75" customHeight="1" x14ac:dyDescent="0.2">
      <c r="A9" s="13" t="s">
        <v>13</v>
      </c>
      <c r="B9" s="13"/>
      <c r="C9" s="13"/>
      <c r="D9" s="13"/>
      <c r="E9" s="13"/>
      <c r="F9" s="13"/>
      <c r="G9" s="13"/>
      <c r="H9" s="13"/>
      <c r="I9" s="13"/>
      <c r="J9" s="13"/>
      <c r="N9" s="13" t="s">
        <v>14</v>
      </c>
      <c r="O9" s="13"/>
      <c r="P9" s="13"/>
      <c r="Q9" s="13"/>
      <c r="S9" s="13" t="s">
        <v>15</v>
      </c>
      <c r="T9" s="13"/>
      <c r="U9" s="13"/>
      <c r="V9" s="13"/>
    </row>
    <row r="10" spans="1:23" ht="15" customHeight="1" x14ac:dyDescent="0.2">
      <c r="A10" s="15" t="s">
        <v>16</v>
      </c>
      <c r="B10" s="15" t="s">
        <v>17</v>
      </c>
      <c r="C10" s="15" t="s">
        <v>18</v>
      </c>
      <c r="D10" s="15" t="s">
        <v>19</v>
      </c>
      <c r="N10" s="15" t="s">
        <v>20</v>
      </c>
      <c r="O10" s="15" t="s">
        <v>21</v>
      </c>
      <c r="P10" s="15" t="s">
        <v>19</v>
      </c>
      <c r="S10" s="15" t="s">
        <v>22</v>
      </c>
      <c r="T10" s="15" t="s">
        <v>21</v>
      </c>
      <c r="U10" s="15" t="s">
        <v>19</v>
      </c>
    </row>
    <row r="11" spans="1:23" ht="13.5" customHeight="1" x14ac:dyDescent="0.2">
      <c r="A11" s="16"/>
      <c r="B11" s="17"/>
      <c r="C11" s="17"/>
      <c r="D11" s="18"/>
      <c r="N11" s="19" t="s">
        <v>23</v>
      </c>
      <c r="O11" s="20">
        <v>153817.32</v>
      </c>
      <c r="P11" s="21">
        <v>5837</v>
      </c>
      <c r="S11" s="16" t="s">
        <v>24</v>
      </c>
      <c r="T11" s="17">
        <v>128412.07</v>
      </c>
      <c r="U11" s="18">
        <v>5995</v>
      </c>
    </row>
    <row r="12" spans="1:23" ht="13.5" customHeight="1" x14ac:dyDescent="0.2">
      <c r="A12" s="22"/>
      <c r="B12" s="23"/>
      <c r="C12" s="23"/>
      <c r="D12" s="24"/>
      <c r="N12" s="25" t="s">
        <v>25</v>
      </c>
      <c r="O12" s="26">
        <v>132320.72</v>
      </c>
      <c r="P12" s="27">
        <v>6290</v>
      </c>
      <c r="S12" s="22" t="s">
        <v>26</v>
      </c>
      <c r="T12" s="23">
        <v>51604.22</v>
      </c>
      <c r="U12" s="24">
        <v>2155</v>
      </c>
    </row>
    <row r="13" spans="1:23" ht="13.5" customHeight="1" x14ac:dyDescent="0.2">
      <c r="A13" s="16"/>
      <c r="B13" s="17"/>
      <c r="C13" s="17"/>
      <c r="D13" s="18"/>
      <c r="S13" s="16" t="s">
        <v>27</v>
      </c>
      <c r="T13" s="17">
        <v>106121.75</v>
      </c>
      <c r="U13" s="18">
        <v>3977</v>
      </c>
    </row>
    <row r="14" spans="1:23" ht="13.5" customHeight="1" x14ac:dyDescent="0.2">
      <c r="A14" s="22"/>
      <c r="B14" s="23"/>
      <c r="C14" s="23"/>
      <c r="D14" s="24"/>
    </row>
    <row r="15" spans="1:23" ht="13.5" customHeight="1" x14ac:dyDescent="0.2">
      <c r="A15" s="16"/>
      <c r="B15" s="17"/>
      <c r="C15" s="17"/>
      <c r="D15" s="18"/>
    </row>
    <row r="16" spans="1:23" ht="13.5" customHeight="1" x14ac:dyDescent="0.2">
      <c r="A16" s="22"/>
      <c r="B16" s="23"/>
      <c r="C16" s="23"/>
      <c r="D16" s="24"/>
    </row>
    <row r="17" spans="1:10" ht="13.5" customHeight="1" x14ac:dyDescent="0.2">
      <c r="A17" s="16"/>
      <c r="B17" s="17"/>
      <c r="C17" s="17"/>
      <c r="D17" s="18"/>
    </row>
    <row r="18" spans="1:10" ht="13.5" customHeight="1" x14ac:dyDescent="0.2">
      <c r="A18" s="22"/>
      <c r="B18" s="23"/>
      <c r="C18" s="23"/>
      <c r="D18" s="24"/>
    </row>
    <row r="19" spans="1:10" ht="13.5" customHeight="1" x14ac:dyDescent="0.2">
      <c r="A19" s="16"/>
      <c r="B19" s="17"/>
      <c r="C19" s="17"/>
      <c r="D19" s="18"/>
    </row>
    <row r="20" spans="1:10" ht="13.5" customHeight="1" x14ac:dyDescent="0.2">
      <c r="A20" s="22"/>
      <c r="B20" s="23"/>
      <c r="C20" s="23"/>
      <c r="D20" s="24"/>
    </row>
    <row r="21" spans="1:10" ht="13.5" customHeight="1" x14ac:dyDescent="0.2">
      <c r="A21" s="16"/>
      <c r="B21" s="17"/>
      <c r="C21" s="17"/>
      <c r="D21" s="18"/>
    </row>
    <row r="22" spans="1:10" ht="13.5" customHeight="1" x14ac:dyDescent="0.2">
      <c r="A22" s="22"/>
      <c r="B22" s="23"/>
      <c r="C22" s="23"/>
      <c r="D22" s="24"/>
    </row>
    <row r="24" spans="1:10" ht="21.75" customHeight="1" x14ac:dyDescent="0.2">
      <c r="A24" s="13" t="s">
        <v>28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ht="15" customHeight="1" x14ac:dyDescent="0.2">
      <c r="A25" s="15" t="s">
        <v>29</v>
      </c>
      <c r="B25" s="15" t="s">
        <v>20</v>
      </c>
      <c r="C25" s="15" t="s">
        <v>19</v>
      </c>
      <c r="D25" s="15" t="s">
        <v>21</v>
      </c>
      <c r="E25" s="15" t="s">
        <v>30</v>
      </c>
      <c r="F25" s="15" t="s">
        <v>31</v>
      </c>
    </row>
    <row r="26" spans="1:10" ht="15" customHeight="1" x14ac:dyDescent="0.2">
      <c r="A26" s="19"/>
      <c r="B26" s="28"/>
      <c r="C26" s="21"/>
      <c r="D26" s="20"/>
      <c r="E26" s="29"/>
      <c r="F26" s="29"/>
    </row>
    <row r="27" spans="1:10" ht="15" customHeight="1" x14ac:dyDescent="0.2">
      <c r="A27" s="25"/>
      <c r="B27" s="30"/>
      <c r="C27" s="27"/>
      <c r="D27" s="26"/>
      <c r="E27" s="31"/>
      <c r="F27" s="31"/>
    </row>
    <row r="28" spans="1:10" ht="15" customHeight="1" x14ac:dyDescent="0.2">
      <c r="A28" s="19"/>
      <c r="B28" s="28"/>
      <c r="C28" s="21"/>
      <c r="D28" s="20"/>
      <c r="E28" s="29"/>
      <c r="F28" s="29"/>
    </row>
    <row r="29" spans="1:10" ht="15" customHeight="1" x14ac:dyDescent="0.2">
      <c r="A29" s="25"/>
      <c r="B29" s="30"/>
      <c r="C29" s="27"/>
      <c r="D29" s="26"/>
      <c r="E29" s="31"/>
      <c r="F29" s="31"/>
    </row>
    <row r="30" spans="1:10" ht="15" customHeight="1" x14ac:dyDescent="0.2">
      <c r="A30" s="25"/>
      <c r="B30" s="30"/>
      <c r="C30" s="27"/>
      <c r="D30" s="26"/>
      <c r="E30" s="31"/>
      <c r="F30" s="31"/>
    </row>
    <row r="31" spans="1:10" ht="15" customHeight="1" x14ac:dyDescent="0.2">
      <c r="A31" s="25"/>
      <c r="B31" s="30"/>
      <c r="C31" s="27"/>
      <c r="D31" s="26"/>
      <c r="E31" s="31"/>
      <c r="F31" s="31"/>
    </row>
    <row r="32" spans="1:10" ht="15" customHeight="1" x14ac:dyDescent="0.2">
      <c r="A32" s="19"/>
      <c r="B32" s="28"/>
      <c r="C32" s="21"/>
      <c r="D32" s="20"/>
      <c r="E32" s="29"/>
      <c r="F32" s="29"/>
    </row>
    <row r="33" spans="1:8" ht="15" customHeight="1" x14ac:dyDescent="0.2">
      <c r="A33" s="19"/>
      <c r="B33" s="28"/>
      <c r="C33" s="21"/>
      <c r="D33" s="20"/>
      <c r="E33" s="29"/>
      <c r="F33" s="29"/>
    </row>
    <row r="34" spans="1:8" ht="15" customHeight="1" x14ac:dyDescent="0.2">
      <c r="A34" s="19"/>
      <c r="B34" s="28"/>
      <c r="C34" s="21"/>
      <c r="D34" s="20"/>
      <c r="E34" s="29"/>
      <c r="F34" s="29"/>
    </row>
    <row r="35" spans="1:8" ht="15" customHeight="1" x14ac:dyDescent="0.2">
      <c r="A35" s="25"/>
      <c r="B35" s="30"/>
      <c r="C35" s="27"/>
      <c r="D35" s="26"/>
      <c r="E35" s="31"/>
      <c r="F35" s="31"/>
    </row>
    <row r="36" spans="1:8" ht="15" customHeight="1" x14ac:dyDescent="0.2">
      <c r="A36" s="19"/>
      <c r="B36" s="28"/>
      <c r="C36" s="21"/>
      <c r="D36" s="20"/>
      <c r="E36" s="29"/>
      <c r="F36" s="29"/>
    </row>
    <row r="37" spans="1:8" ht="15" customHeight="1" x14ac:dyDescent="0.2">
      <c r="A37" s="32" t="s">
        <v>32</v>
      </c>
      <c r="B37" s="32"/>
      <c r="C37" s="33">
        <f>SUM(C26:C36)</f>
        <v>0</v>
      </c>
      <c r="D37" s="34">
        <f>SUM(D26:D36)</f>
        <v>0</v>
      </c>
      <c r="E37" s="35" t="s">
        <v>33</v>
      </c>
      <c r="F37" s="35" t="s">
        <v>33</v>
      </c>
    </row>
    <row r="40" spans="1:8" ht="21.75" customHeight="1" x14ac:dyDescent="0.2">
      <c r="A40" s="13" t="s">
        <v>34</v>
      </c>
      <c r="B40" s="13"/>
      <c r="C40" s="13"/>
      <c r="D40" s="13"/>
      <c r="E40" s="13"/>
      <c r="F40" s="13"/>
      <c r="G40" s="13"/>
      <c r="H40" s="13"/>
    </row>
    <row r="41" spans="1:8" ht="15" customHeight="1" x14ac:dyDescent="0.2">
      <c r="A41" s="15" t="s">
        <v>35</v>
      </c>
      <c r="B41" s="15" t="s">
        <v>24</v>
      </c>
      <c r="C41" s="15" t="s">
        <v>19</v>
      </c>
      <c r="D41" s="15" t="s">
        <v>21</v>
      </c>
      <c r="E41" s="15" t="s">
        <v>36</v>
      </c>
    </row>
    <row r="42" spans="1:8" ht="15" customHeight="1" x14ac:dyDescent="0.2">
      <c r="A42" s="36"/>
      <c r="B42" s="37"/>
      <c r="C42" s="38"/>
      <c r="D42" s="39"/>
      <c r="E42" s="40"/>
    </row>
    <row r="43" spans="1:8" ht="15" customHeight="1" x14ac:dyDescent="0.2">
      <c r="A43" s="41"/>
      <c r="B43" s="16"/>
      <c r="C43" s="18"/>
      <c r="D43" s="17"/>
      <c r="E43" s="42"/>
    </row>
    <row r="44" spans="1:8" ht="15" customHeight="1" x14ac:dyDescent="0.2">
      <c r="A44" s="36"/>
      <c r="B44" s="37"/>
      <c r="C44" s="38"/>
      <c r="D44" s="39"/>
      <c r="E44" s="40"/>
    </row>
    <row r="45" spans="1:8" ht="15" customHeight="1" x14ac:dyDescent="0.2">
      <c r="A45" s="41"/>
      <c r="B45" s="16"/>
      <c r="C45" s="18"/>
      <c r="D45" s="17"/>
      <c r="E45" s="42"/>
    </row>
    <row r="46" spans="1:8" ht="15" customHeight="1" x14ac:dyDescent="0.2">
      <c r="A46" s="36"/>
      <c r="B46" s="37"/>
      <c r="C46" s="38"/>
      <c r="D46" s="39"/>
      <c r="E46" s="40"/>
    </row>
    <row r="47" spans="1:8" ht="15" customHeight="1" x14ac:dyDescent="0.2">
      <c r="A47" s="41"/>
      <c r="B47" s="16"/>
      <c r="C47" s="18"/>
      <c r="D47" s="17"/>
      <c r="E47" s="42"/>
    </row>
    <row r="48" spans="1:8" ht="15" customHeight="1" x14ac:dyDescent="0.2">
      <c r="A48" s="36"/>
      <c r="B48" s="37"/>
      <c r="C48" s="38"/>
      <c r="D48" s="39"/>
      <c r="E48" s="40"/>
    </row>
    <row r="49" spans="1:5" ht="15" customHeight="1" x14ac:dyDescent="0.2">
      <c r="A49" s="41"/>
      <c r="B49" s="16"/>
      <c r="C49" s="18"/>
      <c r="D49" s="17"/>
      <c r="E49" s="42"/>
    </row>
    <row r="50" spans="1:5" ht="15" customHeight="1" x14ac:dyDescent="0.2">
      <c r="A50" s="36"/>
      <c r="B50" s="37"/>
      <c r="C50" s="38"/>
      <c r="D50" s="39"/>
      <c r="E50" s="40"/>
    </row>
    <row r="51" spans="1:5" ht="15" customHeight="1" x14ac:dyDescent="0.2">
      <c r="A51" s="41"/>
      <c r="B51" s="16"/>
      <c r="C51" s="18"/>
      <c r="D51" s="17"/>
      <c r="E51" s="42"/>
    </row>
  </sheetData>
  <mergeCells count="25">
    <mergeCell ref="A9:J9"/>
    <mergeCell ref="N9:Q9"/>
    <mergeCell ref="S9:V9"/>
    <mergeCell ref="A24:J24"/>
    <mergeCell ref="A40:H40"/>
    <mergeCell ref="U6:W6"/>
    <mergeCell ref="A7:C7"/>
    <mergeCell ref="E7:G7"/>
    <mergeCell ref="I7:K7"/>
    <mergeCell ref="M7:O7"/>
    <mergeCell ref="Q7:S7"/>
    <mergeCell ref="U7:W7"/>
    <mergeCell ref="A6:C6"/>
    <mergeCell ref="E6:G6"/>
    <mergeCell ref="I6:K6"/>
    <mergeCell ref="M6:O6"/>
    <mergeCell ref="Q6:S6"/>
    <mergeCell ref="A2:V2"/>
    <mergeCell ref="A4:V4"/>
    <mergeCell ref="A5:C5"/>
    <mergeCell ref="E5:G5"/>
    <mergeCell ref="I5:K5"/>
    <mergeCell ref="M5:O5"/>
    <mergeCell ref="Q5:S5"/>
    <mergeCell ref="U5:W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showGridLines="0" topLeftCell="J1" zoomScaleNormal="100" workbookViewId="0">
      <pane ySplit="2" topLeftCell="A3" activePane="bottomLeft" state="frozen"/>
      <selection activeCell="J1" sqref="J1"/>
      <selection pane="bottomLeft" activeCell="B3" sqref="B3"/>
    </sheetView>
  </sheetViews>
  <sheetFormatPr baseColWidth="10" defaultColWidth="8.5" defaultRowHeight="15" x14ac:dyDescent="0.2"/>
  <cols>
    <col min="1" max="3" width="14" customWidth="1"/>
    <col min="4" max="4" width="12" customWidth="1"/>
    <col min="5" max="6" width="18" customWidth="1"/>
    <col min="7" max="7" width="12" customWidth="1"/>
    <col min="8" max="9" width="14" customWidth="1"/>
    <col min="10" max="11" width="18" customWidth="1"/>
    <col min="12" max="12" width="12" customWidth="1"/>
  </cols>
  <sheetData>
    <row r="1" spans="1:12" ht="36" customHeight="1" x14ac:dyDescent="0.2">
      <c r="A1" s="14" t="s">
        <v>37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31.5" customHeight="1" x14ac:dyDescent="0.2">
      <c r="A2" s="15" t="s">
        <v>16</v>
      </c>
      <c r="B2" s="15" t="s">
        <v>38</v>
      </c>
      <c r="C2" s="15" t="s">
        <v>39</v>
      </c>
      <c r="D2" s="15" t="s">
        <v>40</v>
      </c>
      <c r="E2" s="15" t="s">
        <v>21</v>
      </c>
      <c r="F2" s="15" t="s">
        <v>41</v>
      </c>
      <c r="G2" s="15" t="s">
        <v>42</v>
      </c>
      <c r="H2" s="15" t="s">
        <v>43</v>
      </c>
      <c r="I2" s="15" t="s">
        <v>44</v>
      </c>
      <c r="J2" s="15" t="s">
        <v>45</v>
      </c>
      <c r="K2" s="15" t="s">
        <v>46</v>
      </c>
      <c r="L2" s="15" t="s">
        <v>47</v>
      </c>
    </row>
    <row r="3" spans="1:12" ht="15.75" customHeight="1" x14ac:dyDescent="0.2">
      <c r="A3" s="16" t="s">
        <v>48</v>
      </c>
      <c r="B3" s="18"/>
      <c r="C3" s="18"/>
      <c r="D3" s="43"/>
      <c r="E3" s="17"/>
      <c r="F3" s="17"/>
      <c r="G3" s="43"/>
      <c r="H3" s="18"/>
      <c r="I3" s="18"/>
      <c r="J3" s="17"/>
      <c r="K3" s="17"/>
      <c r="L3" s="18"/>
    </row>
    <row r="4" spans="1:12" ht="15.75" customHeight="1" x14ac:dyDescent="0.2">
      <c r="A4" s="22" t="s">
        <v>49</v>
      </c>
      <c r="B4" s="24"/>
      <c r="C4" s="24"/>
      <c r="D4" s="44"/>
      <c r="E4" s="23"/>
      <c r="F4" s="23"/>
      <c r="G4" s="44"/>
      <c r="H4" s="24"/>
      <c r="I4" s="24"/>
      <c r="J4" s="23"/>
      <c r="K4" s="23"/>
      <c r="L4" s="24"/>
    </row>
    <row r="5" spans="1:12" ht="15.75" customHeight="1" x14ac:dyDescent="0.2">
      <c r="A5" s="16" t="s">
        <v>50</v>
      </c>
      <c r="B5" s="18"/>
      <c r="C5" s="18"/>
      <c r="D5" s="43"/>
      <c r="E5" s="17"/>
      <c r="F5" s="17"/>
      <c r="G5" s="43"/>
      <c r="H5" s="18"/>
      <c r="I5" s="18"/>
      <c r="J5" s="17"/>
      <c r="K5" s="17"/>
      <c r="L5" s="18"/>
    </row>
    <row r="6" spans="1:12" ht="15.75" customHeight="1" x14ac:dyDescent="0.2">
      <c r="A6" s="22" t="s">
        <v>51</v>
      </c>
      <c r="B6" s="24"/>
      <c r="C6" s="24"/>
      <c r="D6" s="44"/>
      <c r="E6" s="23"/>
      <c r="F6" s="23"/>
      <c r="G6" s="44"/>
      <c r="H6" s="24"/>
      <c r="I6" s="24"/>
      <c r="J6" s="23"/>
      <c r="K6" s="23"/>
      <c r="L6" s="24"/>
    </row>
    <row r="7" spans="1:12" ht="15.75" customHeight="1" x14ac:dyDescent="0.2">
      <c r="A7" s="16" t="s">
        <v>52</v>
      </c>
      <c r="B7" s="18"/>
      <c r="C7" s="18"/>
      <c r="D7" s="43"/>
      <c r="E7" s="17"/>
      <c r="F7" s="17"/>
      <c r="G7" s="43"/>
      <c r="H7" s="18"/>
      <c r="I7" s="18"/>
      <c r="J7" s="17"/>
      <c r="K7" s="17"/>
      <c r="L7" s="18"/>
    </row>
    <row r="8" spans="1:12" ht="15.75" customHeight="1" x14ac:dyDescent="0.2">
      <c r="A8" s="22" t="s">
        <v>53</v>
      </c>
      <c r="B8" s="24"/>
      <c r="C8" s="24"/>
      <c r="D8" s="44"/>
      <c r="E8" s="23"/>
      <c r="F8" s="23"/>
      <c r="G8" s="44"/>
      <c r="H8" s="24"/>
      <c r="I8" s="24"/>
      <c r="J8" s="23"/>
      <c r="K8" s="23"/>
      <c r="L8" s="24"/>
    </row>
    <row r="9" spans="1:12" ht="15.75" customHeight="1" x14ac:dyDescent="0.2">
      <c r="A9" s="16" t="s">
        <v>54</v>
      </c>
      <c r="B9" s="18"/>
      <c r="C9" s="18"/>
      <c r="D9" s="43"/>
      <c r="E9" s="17"/>
      <c r="F9" s="17"/>
      <c r="G9" s="43"/>
      <c r="H9" s="18"/>
      <c r="I9" s="18"/>
      <c r="J9" s="17"/>
      <c r="K9" s="17"/>
      <c r="L9" s="18"/>
    </row>
    <row r="10" spans="1:12" ht="15.75" customHeight="1" x14ac:dyDescent="0.2">
      <c r="A10" s="22" t="s">
        <v>55</v>
      </c>
      <c r="B10" s="24"/>
      <c r="C10" s="24"/>
      <c r="D10" s="44"/>
      <c r="E10" s="23"/>
      <c r="F10" s="23"/>
      <c r="G10" s="44"/>
      <c r="H10" s="24"/>
      <c r="I10" s="24"/>
      <c r="J10" s="23"/>
      <c r="K10" s="23"/>
      <c r="L10" s="24"/>
    </row>
    <row r="11" spans="1:12" ht="15.75" customHeight="1" x14ac:dyDescent="0.2">
      <c r="A11" s="16" t="s">
        <v>56</v>
      </c>
      <c r="B11" s="18"/>
      <c r="C11" s="18"/>
      <c r="D11" s="43"/>
      <c r="E11" s="17"/>
      <c r="F11" s="17"/>
      <c r="G11" s="43"/>
      <c r="H11" s="18"/>
      <c r="I11" s="18"/>
      <c r="J11" s="17"/>
      <c r="K11" s="17"/>
      <c r="L11" s="18"/>
    </row>
    <row r="12" spans="1:12" ht="15.75" customHeight="1" x14ac:dyDescent="0.2">
      <c r="A12" s="22" t="s">
        <v>57</v>
      </c>
      <c r="B12" s="24"/>
      <c r="C12" s="24"/>
      <c r="D12" s="44"/>
      <c r="E12" s="23"/>
      <c r="F12" s="23"/>
      <c r="G12" s="44"/>
      <c r="H12" s="24"/>
      <c r="I12" s="24"/>
      <c r="J12" s="23"/>
      <c r="K12" s="23"/>
      <c r="L12" s="24"/>
    </row>
    <row r="13" spans="1:12" ht="15.75" customHeight="1" x14ac:dyDescent="0.2">
      <c r="A13" s="16" t="s">
        <v>58</v>
      </c>
      <c r="B13" s="18"/>
      <c r="C13" s="18"/>
      <c r="D13" s="43"/>
      <c r="E13" s="17"/>
      <c r="F13" s="17"/>
      <c r="G13" s="43"/>
      <c r="H13" s="18"/>
      <c r="I13" s="18"/>
      <c r="J13" s="17"/>
      <c r="K13" s="17"/>
      <c r="L13" s="18"/>
    </row>
    <row r="14" spans="1:12" ht="15.75" customHeight="1" x14ac:dyDescent="0.2">
      <c r="A14" s="22" t="s">
        <v>59</v>
      </c>
      <c r="B14" s="24">
        <v>1205</v>
      </c>
      <c r="C14" s="24">
        <v>1333</v>
      </c>
      <c r="D14" s="44">
        <v>0.90400000000000003</v>
      </c>
      <c r="E14" s="23">
        <v>26810.71</v>
      </c>
      <c r="F14" s="23">
        <v>28063.34</v>
      </c>
      <c r="G14" s="44">
        <v>0.95499999999999996</v>
      </c>
      <c r="H14" s="24">
        <v>27</v>
      </c>
      <c r="I14" s="24"/>
      <c r="J14" s="23"/>
      <c r="K14" s="23"/>
      <c r="L14" s="24"/>
    </row>
    <row r="15" spans="1:12" ht="15.75" customHeight="1" x14ac:dyDescent="0.2">
      <c r="A15" s="45" t="s">
        <v>32</v>
      </c>
      <c r="B15" s="46">
        <v>12127</v>
      </c>
      <c r="C15" s="46">
        <v>13480</v>
      </c>
      <c r="D15" s="47">
        <v>0.89959999999999996</v>
      </c>
      <c r="E15" s="48">
        <v>286138.03999999998</v>
      </c>
      <c r="F15" s="48">
        <v>302311.36</v>
      </c>
      <c r="G15" s="47">
        <v>0.94650000000000001</v>
      </c>
      <c r="H15" s="46">
        <v>310</v>
      </c>
      <c r="I15" s="46">
        <f>SUM(I3:I14)</f>
        <v>0</v>
      </c>
      <c r="J15" s="48">
        <f>SUM(J3:J14)</f>
        <v>0</v>
      </c>
      <c r="K15" s="48">
        <f>SUM(K3:K14)</f>
        <v>0</v>
      </c>
      <c r="L15" s="46">
        <f>SUM(L3:L14)</f>
        <v>0</v>
      </c>
    </row>
  </sheetData>
  <autoFilter ref="A2:L2" xr:uid="{00000000-0009-0000-0000-000001000000}"/>
  <mergeCells count="1">
    <mergeCell ref="A1:L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showGridLines="0" zoomScaleNormal="100" workbookViewId="0">
      <pane ySplit="2" topLeftCell="A3" activePane="bottomLeft" state="frozen"/>
      <selection activeCell="Z1" sqref="Z1"/>
      <selection pane="bottomLeft" activeCell="F16" sqref="F16"/>
    </sheetView>
  </sheetViews>
  <sheetFormatPr baseColWidth="10" defaultColWidth="8.5" defaultRowHeight="15" x14ac:dyDescent="0.2"/>
  <cols>
    <col min="1" max="1" width="20" customWidth="1"/>
    <col min="2" max="2" width="12" customWidth="1"/>
    <col min="3" max="4" width="14" customWidth="1"/>
    <col min="5" max="5" width="12" customWidth="1"/>
    <col min="6" max="7" width="18" customWidth="1"/>
    <col min="8" max="8" width="12" customWidth="1"/>
    <col min="9" max="10" width="16" customWidth="1"/>
    <col min="11" max="11" width="12" customWidth="1"/>
  </cols>
  <sheetData>
    <row r="1" spans="1:11" ht="36" customHeight="1" x14ac:dyDescent="0.2">
      <c r="A1" s="14" t="s">
        <v>60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31.5" customHeight="1" x14ac:dyDescent="0.2">
      <c r="A2" s="15" t="s">
        <v>29</v>
      </c>
      <c r="B2" s="15" t="s">
        <v>20</v>
      </c>
      <c r="C2" s="15" t="s">
        <v>61</v>
      </c>
      <c r="D2" s="15" t="s">
        <v>39</v>
      </c>
      <c r="E2" s="15" t="s">
        <v>40</v>
      </c>
      <c r="F2" s="15" t="s">
        <v>62</v>
      </c>
      <c r="G2" s="15" t="s">
        <v>41</v>
      </c>
      <c r="H2" s="15" t="s">
        <v>42</v>
      </c>
      <c r="I2" s="15" t="s">
        <v>63</v>
      </c>
      <c r="J2" s="15" t="s">
        <v>64</v>
      </c>
      <c r="K2" s="15" t="s">
        <v>65</v>
      </c>
    </row>
    <row r="3" spans="1:11" ht="15.75" customHeight="1" x14ac:dyDescent="0.2">
      <c r="A3" s="19"/>
      <c r="B3" s="28"/>
      <c r="C3" s="21"/>
      <c r="D3" s="21"/>
      <c r="E3" s="29"/>
      <c r="F3" s="20"/>
      <c r="G3" s="20"/>
      <c r="H3" s="29"/>
      <c r="I3" s="20"/>
      <c r="J3" s="20"/>
      <c r="K3" s="20"/>
    </row>
    <row r="4" spans="1:11" ht="15.75" customHeight="1" x14ac:dyDescent="0.2">
      <c r="A4" s="25"/>
      <c r="B4" s="30"/>
      <c r="C4" s="27"/>
      <c r="D4" s="27"/>
      <c r="E4" s="31"/>
      <c r="F4" s="26"/>
      <c r="G4" s="26"/>
      <c r="H4" s="31"/>
      <c r="I4" s="26"/>
      <c r="J4" s="26"/>
      <c r="K4" s="26"/>
    </row>
    <row r="5" spans="1:11" ht="15.75" customHeight="1" x14ac:dyDescent="0.2">
      <c r="A5" s="19"/>
      <c r="B5" s="28"/>
      <c r="C5" s="21"/>
      <c r="D5" s="21"/>
      <c r="E5" s="29"/>
      <c r="F5" s="20"/>
      <c r="G5" s="20"/>
      <c r="H5" s="29"/>
      <c r="I5" s="20"/>
      <c r="J5" s="20"/>
      <c r="K5" s="20"/>
    </row>
    <row r="6" spans="1:11" ht="15.75" customHeight="1" x14ac:dyDescent="0.2">
      <c r="A6" s="25"/>
      <c r="B6" s="30"/>
      <c r="C6" s="27"/>
      <c r="D6" s="27"/>
      <c r="E6" s="31"/>
      <c r="F6" s="26"/>
      <c r="G6" s="26"/>
      <c r="H6" s="31"/>
      <c r="I6" s="26"/>
      <c r="J6" s="26"/>
      <c r="K6" s="26"/>
    </row>
    <row r="7" spans="1:11" ht="15.75" customHeight="1" x14ac:dyDescent="0.2">
      <c r="A7" s="25"/>
      <c r="B7" s="30"/>
      <c r="C7" s="27"/>
      <c r="D7" s="27"/>
      <c r="E7" s="31"/>
      <c r="F7" s="26"/>
      <c r="G7" s="26"/>
      <c r="H7" s="31"/>
      <c r="I7" s="26"/>
      <c r="J7" s="26"/>
      <c r="K7" s="26"/>
    </row>
    <row r="8" spans="1:11" ht="15.75" customHeight="1" x14ac:dyDescent="0.2">
      <c r="A8" s="25"/>
      <c r="B8" s="30"/>
      <c r="C8" s="27"/>
      <c r="D8" s="27"/>
      <c r="E8" s="31"/>
      <c r="F8" s="26"/>
      <c r="G8" s="26"/>
      <c r="H8" s="31"/>
      <c r="I8" s="26"/>
      <c r="J8" s="26"/>
      <c r="K8" s="26"/>
    </row>
    <row r="9" spans="1:11" ht="15.75" customHeight="1" x14ac:dyDescent="0.2">
      <c r="A9" s="19"/>
      <c r="B9" s="28"/>
      <c r="C9" s="21"/>
      <c r="D9" s="21"/>
      <c r="E9" s="29"/>
      <c r="F9" s="20"/>
      <c r="G9" s="20"/>
      <c r="H9" s="29"/>
      <c r="I9" s="20"/>
      <c r="J9" s="20"/>
      <c r="K9" s="20"/>
    </row>
    <row r="10" spans="1:11" ht="15.75" customHeight="1" x14ac:dyDescent="0.2">
      <c r="A10" s="19"/>
      <c r="B10" s="28"/>
      <c r="C10" s="21"/>
      <c r="D10" s="21"/>
      <c r="E10" s="29"/>
      <c r="F10" s="20"/>
      <c r="G10" s="20"/>
      <c r="H10" s="29"/>
      <c r="I10" s="20"/>
      <c r="J10" s="20"/>
      <c r="K10" s="20"/>
    </row>
    <row r="11" spans="1:11" ht="15.75" customHeight="1" x14ac:dyDescent="0.2">
      <c r="A11" s="19"/>
      <c r="B11" s="28"/>
      <c r="C11" s="21"/>
      <c r="D11" s="21"/>
      <c r="E11" s="29"/>
      <c r="F11" s="20"/>
      <c r="G11" s="20"/>
      <c r="H11" s="29"/>
      <c r="I11" s="20"/>
      <c r="J11" s="20"/>
      <c r="K11" s="20"/>
    </row>
    <row r="12" spans="1:11" ht="15.75" customHeight="1" x14ac:dyDescent="0.2">
      <c r="A12" s="25"/>
      <c r="B12" s="30"/>
      <c r="C12" s="27"/>
      <c r="D12" s="27"/>
      <c r="E12" s="31"/>
      <c r="F12" s="26"/>
      <c r="G12" s="26"/>
      <c r="H12" s="31"/>
      <c r="I12" s="26"/>
      <c r="J12" s="26"/>
      <c r="K12" s="26"/>
    </row>
    <row r="13" spans="1:11" ht="15.75" customHeight="1" x14ac:dyDescent="0.2">
      <c r="A13" s="19"/>
      <c r="B13" s="28"/>
      <c r="C13" s="21"/>
      <c r="D13" s="21"/>
      <c r="E13" s="29"/>
      <c r="F13" s="20"/>
      <c r="G13" s="20"/>
      <c r="H13" s="29"/>
      <c r="I13" s="20"/>
      <c r="J13" s="20"/>
      <c r="K13" s="20"/>
    </row>
    <row r="14" spans="1:11" ht="15.75" customHeight="1" x14ac:dyDescent="0.2">
      <c r="A14" s="45" t="s">
        <v>32</v>
      </c>
      <c r="B14" s="49"/>
      <c r="C14" s="46">
        <f>SUM(C3:C13)</f>
        <v>0</v>
      </c>
      <c r="D14" s="46">
        <f>SUM(D3:D13)</f>
        <v>0</v>
      </c>
      <c r="E14" s="47" t="e">
        <f>C14/D14</f>
        <v>#DIV/0!</v>
      </c>
      <c r="F14" s="48">
        <f>SUM(F3:F13)</f>
        <v>0</v>
      </c>
      <c r="G14" s="48">
        <f>SUM(G3:G13)</f>
        <v>0</v>
      </c>
      <c r="H14" s="47" t="e">
        <f>F14/G14</f>
        <v>#DIV/0!</v>
      </c>
      <c r="I14" s="48">
        <f>SUM(I3:I13)</f>
        <v>0</v>
      </c>
      <c r="J14" s="48">
        <f>SUM(J3:J13)</f>
        <v>0</v>
      </c>
      <c r="K14" s="48">
        <f>SUM(K3:K13)</f>
        <v>0</v>
      </c>
    </row>
  </sheetData>
  <autoFilter ref="A2:K2" xr:uid="{00000000-0009-0000-0000-000002000000}"/>
  <mergeCells count="1">
    <mergeCell ref="A1:K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"/>
  <sheetViews>
    <sheetView showGridLines="0" zoomScaleNormal="100" workbookViewId="0">
      <pane ySplit="2" topLeftCell="A3" activePane="bottomLeft" state="frozen"/>
      <selection pane="bottomLeft" activeCell="B13" sqref="B13"/>
    </sheetView>
  </sheetViews>
  <sheetFormatPr baseColWidth="10" defaultColWidth="8.5" defaultRowHeight="15" x14ac:dyDescent="0.2"/>
  <cols>
    <col min="1" max="1" width="22" customWidth="1"/>
    <col min="2" max="2" width="8" customWidth="1"/>
    <col min="3" max="3" width="14" customWidth="1"/>
    <col min="4" max="4" width="18" customWidth="1"/>
    <col min="5" max="5" width="16" customWidth="1"/>
    <col min="6" max="6" width="18" customWidth="1"/>
    <col min="7" max="7" width="14" customWidth="1"/>
    <col min="8" max="8" width="18" customWidth="1"/>
    <col min="9" max="9" width="10" customWidth="1"/>
    <col min="10" max="10" width="14" customWidth="1"/>
    <col min="11" max="11" width="16" customWidth="1"/>
  </cols>
  <sheetData>
    <row r="1" spans="1:11" ht="36" customHeight="1" x14ac:dyDescent="0.2">
      <c r="A1" s="14" t="s">
        <v>66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31.5" customHeight="1" x14ac:dyDescent="0.2">
      <c r="A2" s="15" t="s">
        <v>24</v>
      </c>
      <c r="B2" s="15" t="s">
        <v>67</v>
      </c>
      <c r="C2" s="15" t="s">
        <v>43</v>
      </c>
      <c r="D2" s="15" t="s">
        <v>45</v>
      </c>
      <c r="E2" s="15" t="s">
        <v>68</v>
      </c>
      <c r="F2" s="15" t="s">
        <v>69</v>
      </c>
      <c r="G2" s="15" t="s">
        <v>61</v>
      </c>
      <c r="H2" s="15" t="s">
        <v>62</v>
      </c>
      <c r="I2" s="15" t="s">
        <v>47</v>
      </c>
      <c r="J2" s="15" t="s">
        <v>70</v>
      </c>
      <c r="K2" s="15" t="s">
        <v>71</v>
      </c>
    </row>
    <row r="3" spans="1:11" ht="15.75" customHeight="1" x14ac:dyDescent="0.2">
      <c r="A3" s="37"/>
      <c r="B3" s="50"/>
      <c r="C3" s="38"/>
      <c r="D3" s="39"/>
      <c r="E3" s="38"/>
      <c r="F3" s="39"/>
      <c r="G3" s="38"/>
      <c r="H3" s="39"/>
      <c r="I3" s="38"/>
      <c r="J3" s="39"/>
      <c r="K3" s="39"/>
    </row>
    <row r="4" spans="1:11" ht="15.75" customHeight="1" x14ac:dyDescent="0.2">
      <c r="A4" s="16"/>
      <c r="B4" s="51"/>
      <c r="C4" s="18"/>
      <c r="D4" s="17"/>
      <c r="E4" s="18"/>
      <c r="F4" s="17"/>
      <c r="G4" s="18"/>
      <c r="H4" s="17"/>
      <c r="I4" s="18"/>
      <c r="J4" s="17"/>
      <c r="K4" s="17"/>
    </row>
    <row r="5" spans="1:11" ht="15.75" customHeight="1" x14ac:dyDescent="0.2">
      <c r="A5" s="37"/>
      <c r="B5" s="50"/>
      <c r="C5" s="38"/>
      <c r="D5" s="39"/>
      <c r="E5" s="38"/>
      <c r="F5" s="39"/>
      <c r="G5" s="38"/>
      <c r="H5" s="39"/>
      <c r="I5" s="38"/>
      <c r="J5" s="39"/>
      <c r="K5" s="39"/>
    </row>
    <row r="6" spans="1:11" ht="15.75" customHeight="1" x14ac:dyDescent="0.2">
      <c r="A6" s="16"/>
      <c r="B6" s="51"/>
      <c r="C6" s="18"/>
      <c r="D6" s="17"/>
      <c r="E6" s="18"/>
      <c r="F6" s="17"/>
      <c r="G6" s="18"/>
      <c r="H6" s="17"/>
      <c r="I6" s="18"/>
      <c r="J6" s="17"/>
      <c r="K6" s="17"/>
    </row>
    <row r="7" spans="1:11" ht="15.75" customHeight="1" x14ac:dyDescent="0.2">
      <c r="A7" s="37"/>
      <c r="B7" s="50"/>
      <c r="C7" s="38"/>
      <c r="D7" s="39"/>
      <c r="E7" s="38"/>
      <c r="F7" s="39"/>
      <c r="G7" s="38"/>
      <c r="H7" s="39"/>
      <c r="I7" s="38"/>
      <c r="J7" s="39"/>
      <c r="K7" s="39"/>
    </row>
    <row r="8" spans="1:11" ht="15.75" customHeight="1" x14ac:dyDescent="0.2">
      <c r="A8" s="16"/>
      <c r="B8" s="51"/>
      <c r="C8" s="18"/>
      <c r="D8" s="17"/>
      <c r="E8" s="18"/>
      <c r="F8" s="17"/>
      <c r="G8" s="18"/>
      <c r="H8" s="17"/>
      <c r="I8" s="18"/>
      <c r="J8" s="17"/>
      <c r="K8" s="17"/>
    </row>
    <row r="9" spans="1:11" ht="15.75" customHeight="1" x14ac:dyDescent="0.2">
      <c r="A9" s="37"/>
      <c r="B9" s="50"/>
      <c r="C9" s="38"/>
      <c r="D9" s="39"/>
      <c r="E9" s="38"/>
      <c r="F9" s="39"/>
      <c r="G9" s="38"/>
      <c r="H9" s="39"/>
      <c r="I9" s="38"/>
      <c r="J9" s="39"/>
      <c r="K9" s="39"/>
    </row>
    <row r="10" spans="1:11" ht="15.75" customHeight="1" x14ac:dyDescent="0.2">
      <c r="A10" s="16"/>
      <c r="B10" s="51"/>
      <c r="C10" s="18"/>
      <c r="D10" s="17"/>
      <c r="E10" s="18"/>
      <c r="F10" s="17"/>
      <c r="G10" s="18"/>
      <c r="H10" s="17"/>
      <c r="I10" s="18"/>
      <c r="J10" s="17"/>
      <c r="K10" s="17"/>
    </row>
    <row r="11" spans="1:11" ht="15.75" customHeight="1" x14ac:dyDescent="0.2">
      <c r="A11" s="37"/>
      <c r="B11" s="50"/>
      <c r="C11" s="38"/>
      <c r="D11" s="39"/>
      <c r="E11" s="38"/>
      <c r="F11" s="39"/>
      <c r="G11" s="38"/>
      <c r="H11" s="39"/>
      <c r="I11" s="38"/>
      <c r="J11" s="39"/>
      <c r="K11" s="39"/>
    </row>
    <row r="12" spans="1:11" ht="15.75" customHeight="1" x14ac:dyDescent="0.2">
      <c r="A12" s="16"/>
      <c r="B12" s="51"/>
      <c r="C12" s="18"/>
      <c r="D12" s="17"/>
      <c r="E12" s="18"/>
      <c r="F12" s="17"/>
      <c r="G12" s="18"/>
      <c r="H12" s="17"/>
      <c r="I12" s="18"/>
      <c r="J12" s="17"/>
      <c r="K12" s="17"/>
    </row>
    <row r="13" spans="1:11" ht="15.75" customHeight="1" x14ac:dyDescent="0.2">
      <c r="A13" s="37"/>
      <c r="B13" s="50"/>
      <c r="C13" s="38"/>
      <c r="D13" s="39"/>
      <c r="E13" s="38"/>
      <c r="F13" s="39"/>
      <c r="G13" s="38"/>
      <c r="H13" s="39"/>
      <c r="I13" s="38"/>
      <c r="J13" s="39"/>
      <c r="K13" s="39"/>
    </row>
    <row r="14" spans="1:11" ht="15.75" customHeight="1" x14ac:dyDescent="0.2">
      <c r="A14" s="16"/>
      <c r="B14" s="51"/>
      <c r="C14" s="18"/>
      <c r="D14" s="17"/>
      <c r="E14" s="18"/>
      <c r="F14" s="17"/>
      <c r="G14" s="18"/>
      <c r="H14" s="17"/>
      <c r="I14" s="18"/>
      <c r="J14" s="17"/>
      <c r="K14" s="17"/>
    </row>
    <row r="15" spans="1:11" ht="15.75" customHeight="1" x14ac:dyDescent="0.2">
      <c r="A15" s="37"/>
      <c r="B15" s="50"/>
      <c r="C15" s="38"/>
      <c r="D15" s="39"/>
      <c r="E15" s="38"/>
      <c r="F15" s="39"/>
      <c r="G15" s="38"/>
      <c r="H15" s="39"/>
      <c r="I15" s="38"/>
      <c r="J15" s="39"/>
      <c r="K15" s="39"/>
    </row>
    <row r="16" spans="1:11" ht="15.75" customHeight="1" x14ac:dyDescent="0.2">
      <c r="A16" s="16"/>
      <c r="B16" s="51"/>
      <c r="C16" s="18"/>
      <c r="D16" s="17"/>
      <c r="E16" s="18"/>
      <c r="F16" s="17"/>
      <c r="G16" s="18"/>
      <c r="H16" s="17"/>
      <c r="I16" s="18"/>
      <c r="J16" s="17"/>
      <c r="K16" s="17"/>
    </row>
    <row r="17" spans="1:11" ht="15.75" customHeight="1" x14ac:dyDescent="0.2">
      <c r="A17" s="37"/>
      <c r="B17" s="50"/>
      <c r="C17" s="38"/>
      <c r="D17" s="39"/>
      <c r="E17" s="38"/>
      <c r="F17" s="39"/>
      <c r="G17" s="38"/>
      <c r="H17" s="39"/>
      <c r="I17" s="38"/>
      <c r="J17" s="39"/>
      <c r="K17" s="39"/>
    </row>
    <row r="18" spans="1:11" ht="15.75" customHeight="1" x14ac:dyDescent="0.2">
      <c r="A18" s="45" t="s">
        <v>32</v>
      </c>
      <c r="B18" s="49"/>
      <c r="C18" s="46">
        <f t="shared" ref="C18:H18" si="0">SUM(C3:C17)</f>
        <v>0</v>
      </c>
      <c r="D18" s="48">
        <f t="shared" si="0"/>
        <v>0</v>
      </c>
      <c r="E18" s="46">
        <f t="shared" si="0"/>
        <v>0</v>
      </c>
      <c r="F18" s="48">
        <f t="shared" si="0"/>
        <v>0</v>
      </c>
      <c r="G18" s="46">
        <f t="shared" si="0"/>
        <v>0</v>
      </c>
      <c r="H18" s="48">
        <f t="shared" si="0"/>
        <v>0</v>
      </c>
      <c r="I18" s="49"/>
      <c r="J18" s="49"/>
      <c r="K18" s="49"/>
    </row>
  </sheetData>
  <autoFilter ref="A2:K2" xr:uid="{00000000-0009-0000-0000-000003000000}"/>
  <mergeCells count="1">
    <mergeCell ref="A1:K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7"/>
  <sheetViews>
    <sheetView showGridLines="0" tabSelected="1" zoomScaleNormal="100" workbookViewId="0">
      <pane ySplit="2" topLeftCell="A3" activePane="bottomLeft" state="frozen"/>
      <selection pane="bottomLeft" activeCell="D8" sqref="D8"/>
    </sheetView>
  </sheetViews>
  <sheetFormatPr baseColWidth="10" defaultColWidth="8.5" defaultRowHeight="15" x14ac:dyDescent="0.2"/>
  <cols>
    <col min="1" max="1" width="6" customWidth="1"/>
    <col min="2" max="2" width="24" customWidth="1"/>
    <col min="3" max="3" width="14" customWidth="1"/>
    <col min="4" max="4" width="18" customWidth="1"/>
    <col min="5" max="5" width="12" customWidth="1"/>
    <col min="6" max="6" width="18" customWidth="1"/>
    <col min="7" max="7" width="24" customWidth="1"/>
    <col min="8" max="8" width="8" customWidth="1"/>
  </cols>
  <sheetData>
    <row r="1" spans="1:8" ht="36" customHeight="1" x14ac:dyDescent="0.2">
      <c r="A1" s="14" t="s">
        <v>72</v>
      </c>
      <c r="B1" s="14"/>
      <c r="C1" s="14"/>
      <c r="D1" s="14"/>
      <c r="E1" s="14"/>
      <c r="F1" s="14"/>
      <c r="G1" s="14"/>
      <c r="H1" s="14"/>
    </row>
    <row r="2" spans="1:8" ht="31.5" customHeight="1" x14ac:dyDescent="0.2">
      <c r="A2" s="15" t="s">
        <v>73</v>
      </c>
      <c r="B2" s="15" t="s">
        <v>74</v>
      </c>
      <c r="C2" s="15" t="s">
        <v>61</v>
      </c>
      <c r="D2" s="15" t="s">
        <v>62</v>
      </c>
      <c r="E2" s="15" t="s">
        <v>47</v>
      </c>
      <c r="F2" s="15" t="s">
        <v>71</v>
      </c>
      <c r="G2" s="15" t="s">
        <v>75</v>
      </c>
      <c r="H2" s="15" t="s">
        <v>76</v>
      </c>
    </row>
    <row r="3" spans="1:8" ht="15.75" customHeight="1" x14ac:dyDescent="0.2">
      <c r="A3" s="52"/>
      <c r="B3" s="53"/>
      <c r="C3" s="54"/>
      <c r="D3" s="55"/>
      <c r="E3" s="21"/>
      <c r="F3" s="20"/>
      <c r="G3" s="56"/>
      <c r="H3" s="57"/>
    </row>
    <row r="4" spans="1:8" ht="15.75" customHeight="1" x14ac:dyDescent="0.2">
      <c r="A4" s="58"/>
      <c r="B4" s="59"/>
      <c r="C4" s="60"/>
      <c r="D4" s="61"/>
      <c r="E4" s="24"/>
      <c r="F4" s="20"/>
      <c r="G4" s="62"/>
      <c r="H4" s="63"/>
    </row>
    <row r="5" spans="1:8" ht="15.75" customHeight="1" x14ac:dyDescent="0.2">
      <c r="A5" s="36"/>
      <c r="B5" s="64"/>
      <c r="C5" s="65"/>
      <c r="D5" s="66"/>
      <c r="E5" s="38"/>
      <c r="F5" s="39"/>
      <c r="G5" s="40"/>
      <c r="H5" s="67"/>
    </row>
    <row r="6" spans="1:8" ht="15.75" customHeight="1" x14ac:dyDescent="0.2">
      <c r="A6" s="51"/>
      <c r="B6" s="16"/>
      <c r="C6" s="18"/>
      <c r="D6" s="17"/>
      <c r="E6" s="18"/>
      <c r="F6" s="17"/>
      <c r="G6" s="42"/>
      <c r="H6" s="68"/>
    </row>
    <row r="7" spans="1:8" ht="15.75" customHeight="1" x14ac:dyDescent="0.2">
      <c r="A7" s="51"/>
      <c r="B7" s="16"/>
      <c r="C7" s="18"/>
      <c r="D7" s="17"/>
      <c r="E7" s="18"/>
      <c r="F7" s="17"/>
      <c r="G7" s="42"/>
      <c r="H7" s="68"/>
    </row>
    <row r="8" spans="1:8" ht="15.75" customHeight="1" x14ac:dyDescent="0.2">
      <c r="A8" s="51"/>
      <c r="B8" s="16"/>
      <c r="C8" s="18"/>
      <c r="D8" s="17"/>
      <c r="E8" s="18"/>
      <c r="F8" s="17"/>
      <c r="G8" s="42"/>
      <c r="H8" s="68"/>
    </row>
    <row r="9" spans="1:8" ht="15.75" customHeight="1" x14ac:dyDescent="0.2">
      <c r="A9" s="51"/>
      <c r="B9" s="16"/>
      <c r="C9" s="18"/>
      <c r="D9" s="17"/>
      <c r="E9" s="18"/>
      <c r="F9" s="17"/>
      <c r="G9" s="42"/>
      <c r="H9" s="68"/>
    </row>
    <row r="10" spans="1:8" ht="15.75" customHeight="1" x14ac:dyDescent="0.2">
      <c r="A10" s="51"/>
      <c r="B10" s="16"/>
      <c r="C10" s="18"/>
      <c r="D10" s="17"/>
      <c r="E10" s="18"/>
      <c r="F10" s="17"/>
      <c r="G10" s="42"/>
      <c r="H10" s="68"/>
    </row>
    <row r="11" spans="1:8" ht="15.75" customHeight="1" x14ac:dyDescent="0.2">
      <c r="A11" s="51"/>
      <c r="B11" s="16"/>
      <c r="C11" s="18"/>
      <c r="D11" s="17"/>
      <c r="E11" s="18"/>
      <c r="F11" s="17"/>
      <c r="G11" s="42"/>
      <c r="H11" s="68"/>
    </row>
    <row r="12" spans="1:8" ht="15.75" customHeight="1" x14ac:dyDescent="0.2">
      <c r="A12" s="51"/>
      <c r="B12" s="16"/>
      <c r="C12" s="18"/>
      <c r="D12" s="17"/>
      <c r="E12" s="18"/>
      <c r="F12" s="17"/>
      <c r="G12" s="42"/>
      <c r="H12" s="68"/>
    </row>
    <row r="13" spans="1:8" ht="15.75" customHeight="1" x14ac:dyDescent="0.2">
      <c r="A13" s="51"/>
      <c r="B13" s="16"/>
      <c r="C13" s="18"/>
      <c r="D13" s="17"/>
      <c r="E13" s="18"/>
      <c r="F13" s="17"/>
      <c r="G13" s="42"/>
      <c r="H13" s="68"/>
    </row>
    <row r="14" spans="1:8" ht="15.75" customHeight="1" x14ac:dyDescent="0.2">
      <c r="A14" s="51"/>
      <c r="B14" s="16"/>
      <c r="C14" s="18"/>
      <c r="D14" s="17"/>
      <c r="E14" s="18"/>
      <c r="F14" s="17"/>
      <c r="G14" s="42"/>
      <c r="H14" s="68"/>
    </row>
    <row r="15" spans="1:8" ht="15.75" customHeight="1" x14ac:dyDescent="0.2">
      <c r="A15" s="51"/>
      <c r="B15" s="16"/>
      <c r="C15" s="18"/>
      <c r="D15" s="17"/>
      <c r="E15" s="18"/>
      <c r="F15" s="17"/>
      <c r="G15" s="42"/>
      <c r="H15" s="68"/>
    </row>
    <row r="16" spans="1:8" ht="15.75" customHeight="1" x14ac:dyDescent="0.2">
      <c r="A16" s="51"/>
      <c r="B16" s="16"/>
      <c r="C16" s="18"/>
      <c r="D16" s="17"/>
      <c r="E16" s="18"/>
      <c r="F16" s="17"/>
      <c r="G16" s="42"/>
      <c r="H16" s="68"/>
    </row>
    <row r="17" spans="1:8" ht="15.75" customHeight="1" x14ac:dyDescent="0.2">
      <c r="A17" s="51"/>
      <c r="B17" s="16"/>
      <c r="C17" s="18"/>
      <c r="D17" s="17"/>
      <c r="E17" s="18"/>
      <c r="F17" s="17"/>
      <c r="G17" s="42"/>
      <c r="H17" s="68"/>
    </row>
    <row r="18" spans="1:8" ht="15.75" customHeight="1" x14ac:dyDescent="0.2">
      <c r="A18" s="51"/>
      <c r="B18" s="16"/>
      <c r="C18" s="18"/>
      <c r="D18" s="17"/>
      <c r="E18" s="18"/>
      <c r="F18" s="17"/>
      <c r="G18" s="42"/>
      <c r="H18" s="68"/>
    </row>
    <row r="19" spans="1:8" ht="15.75" customHeight="1" x14ac:dyDescent="0.2">
      <c r="A19" s="51"/>
      <c r="B19" s="16"/>
      <c r="C19" s="18"/>
      <c r="D19" s="17"/>
      <c r="E19" s="18"/>
      <c r="F19" s="17"/>
      <c r="G19" s="42"/>
      <c r="H19" s="68"/>
    </row>
    <row r="20" spans="1:8" ht="15.75" customHeight="1" x14ac:dyDescent="0.2">
      <c r="A20" s="51"/>
      <c r="B20" s="16"/>
      <c r="C20" s="18"/>
      <c r="D20" s="17"/>
      <c r="E20" s="18"/>
      <c r="F20" s="17"/>
      <c r="G20" s="42"/>
      <c r="H20" s="68"/>
    </row>
    <row r="21" spans="1:8" ht="15.75" customHeight="1" x14ac:dyDescent="0.2">
      <c r="A21" s="51"/>
      <c r="B21" s="16"/>
      <c r="C21" s="18"/>
      <c r="D21" s="17"/>
      <c r="E21" s="18"/>
      <c r="F21" s="17"/>
      <c r="G21" s="42"/>
      <c r="H21" s="68"/>
    </row>
    <row r="22" spans="1:8" ht="15.75" customHeight="1" x14ac:dyDescent="0.2">
      <c r="A22" s="51"/>
      <c r="B22" s="16"/>
      <c r="C22" s="18"/>
      <c r="D22" s="17"/>
      <c r="E22" s="18"/>
      <c r="F22" s="17"/>
      <c r="G22" s="42"/>
      <c r="H22" s="68"/>
    </row>
    <row r="23" spans="1:8" ht="15.75" customHeight="1" x14ac:dyDescent="0.2">
      <c r="A23" s="51"/>
      <c r="B23" s="16"/>
      <c r="C23" s="18"/>
      <c r="D23" s="17"/>
      <c r="E23" s="18"/>
      <c r="F23" s="17"/>
      <c r="G23" s="42"/>
      <c r="H23" s="68"/>
    </row>
    <row r="24" spans="1:8" ht="15.75" customHeight="1" x14ac:dyDescent="0.2">
      <c r="A24" s="51"/>
      <c r="B24" s="16"/>
      <c r="C24" s="18"/>
      <c r="D24" s="17"/>
      <c r="E24" s="18"/>
      <c r="F24" s="17"/>
      <c r="G24" s="42"/>
      <c r="H24" s="68"/>
    </row>
    <row r="25" spans="1:8" ht="15.75" customHeight="1" x14ac:dyDescent="0.2">
      <c r="A25" s="51"/>
      <c r="B25" s="16"/>
      <c r="C25" s="18"/>
      <c r="D25" s="17"/>
      <c r="E25" s="18"/>
      <c r="F25" s="17"/>
      <c r="G25" s="42"/>
      <c r="H25" s="68"/>
    </row>
    <row r="26" spans="1:8" ht="15.75" customHeight="1" x14ac:dyDescent="0.2">
      <c r="A26" s="51"/>
      <c r="B26" s="16"/>
      <c r="C26" s="18"/>
      <c r="D26" s="17"/>
      <c r="E26" s="18"/>
      <c r="F26" s="17"/>
      <c r="G26" s="42"/>
      <c r="H26" s="68"/>
    </row>
    <row r="27" spans="1:8" ht="15.75" customHeight="1" x14ac:dyDescent="0.2">
      <c r="A27" s="51"/>
      <c r="B27" s="16"/>
      <c r="C27" s="18"/>
      <c r="D27" s="17"/>
      <c r="E27" s="18"/>
      <c r="F27" s="17"/>
      <c r="G27" s="42"/>
      <c r="H27" s="68"/>
    </row>
  </sheetData>
  <autoFilter ref="A2:H2" xr:uid="{00000000-0009-0000-0000-000004000000}"/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Monthly Trend</vt:lpstr>
      <vt:lpstr>Product Performance</vt:lpstr>
      <vt:lpstr>Branch Performance</vt:lpstr>
      <vt:lpstr>RM Leaderboard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lakshminarasimhan santhanam</cp:lastModifiedBy>
  <cp:revision>2</cp:revision>
  <dcterms:created xsi:type="dcterms:W3CDTF">2026-05-19T16:11:43Z</dcterms:created>
  <dcterms:modified xsi:type="dcterms:W3CDTF">2026-06-30T20:09:32Z</dcterms:modified>
  <dc:language>en-IN</dc:language>
</cp:coreProperties>
</file>